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.sharepoint.com/sites/ISIS1225/Documentos compartidos/General/2025-10/Laboratorios/Lab 04 - Pilas y colas/"/>
    </mc:Choice>
  </mc:AlternateContent>
  <xr:revisionPtr revIDLastSave="120" documentId="13_ncr:1_{059725CA-9D74-4145-8FC3-28FE5756BBF0}" xr6:coauthVersionLast="47" xr6:coauthVersionMax="47" xr10:uidLastSave="{8CAB1D75-7132-4A69-A395-BC4C20E1FCBD}"/>
  <bookViews>
    <workbookView xWindow="-120" yWindow="-120" windowWidth="29040" windowHeight="15720" xr2:uid="{D82936D8-D2C9-4EB2-9CBC-3665F65B95FD}"/>
  </bookViews>
  <sheets>
    <sheet name="01-Data Lab 4" sheetId="1" r:id="rId1"/>
    <sheet name="02-Enqueue" sheetId="8" r:id="rId2"/>
    <sheet name="03-Dequeue" sheetId="14" r:id="rId3"/>
    <sheet name="04-Peek" sheetId="16" r:id="rId4"/>
    <sheet name="05-Push" sheetId="26" r:id="rId5"/>
    <sheet name="06-Pop" sheetId="21" r:id="rId6"/>
    <sheet name="07-Top" sheetId="2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4" i="1"/>
  <c r="B15" i="1"/>
  <c r="B6" i="1"/>
  <c r="B4" i="1"/>
  <c r="B3" i="1"/>
  <c r="B5" i="1"/>
  <c r="B7" i="1"/>
  <c r="B8" i="1"/>
  <c r="B9" i="1"/>
  <c r="B10" i="1"/>
  <c r="B16" i="1"/>
  <c r="B18" i="1"/>
  <c r="B19" i="1"/>
  <c r="B20" i="1"/>
  <c r="B21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<sst xmlns="http://schemas.openxmlformats.org/spreadsheetml/2006/main" count="20" uniqueCount="17">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</sst>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justify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Dax-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69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D4-4A09-BEFF-C643A08A798B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D4-4A09-BEFF-C643A08A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E6-4C96-B542-B32CC3AB919F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E6-4C96-B542-B32CC3AB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18-42DB-B9B4-851B2422740E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18-42DB-B9B4-851B2422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3D-443F-9CD6-04EF414BEDDD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3D-443F-9CD6-04EF414BE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B4-42D5-AC23-D7E26B1354F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B4-42D5-AC23-D7E26B13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0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2-44F9-B5EB-F480C153262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22-44F9-B5EB-F480C153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4D373F-B89D-476A-916E-D6B8B50B0AC1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2FF808-7ED0-47FB-B864-504F6F16AA8A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6F8E6F-6F0F-4920-8230-CBB34D53C742}">
  <sheetPr>
    <tabColor theme="9" tint="0.59999389629810485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BECD7C-0E68-4F70-B3B6-C22C36A0C26A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575C93-C280-48A9-B18D-2C297D43A605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0E80F7-6EA9-429E-B27A-295C9BBA9433}">
  <sheetPr>
    <tabColor rgb="FFF69E76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ACB43-BF23-44E0-A2C1-1BE0D48E22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A87D5-B644-4CF1-AC85-39B826EC2C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A525E-3430-4CEF-23E8-ECD9066C6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B0B28A-DE5E-E347-1DCC-EBC3E818A8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11EF7-88B5-6F32-87A6-E5E2CC082D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B05CC-C680-88B2-FEFE-B0E289E2EA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H10" totalsRowShown="0" headerRowDxfId="19" dataDxfId="18">
  <autoFilter ref="A2:H10" xr:uid="{072D0253-75B0-4C0B-8972-D033038992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AF2A2F-BC4B-404E-9B8B-256DA178E68B}" name="Porcentaje de la muestra [pct]" dataDxfId="17"/>
    <tableColumn id="2" xr3:uid="{23CECC62-35E0-466E-9502-4F5CC2E6F7A7}" name="Tamaño de la muestra (ARRAY_LIST)" dataDxfId="16">
      <calculatedColumnFormula>Table1[[#This Row],[Porcentaje de la muestra '[pct']]]*10000</calculatedColumnFormula>
    </tableColumn>
    <tableColumn id="3" xr3:uid="{19B1D273-887B-4392-991E-015D36D99E5B}" name="enqueue (Array List) " dataDxfId="8"/>
    <tableColumn id="4" xr3:uid="{56471E76-DCC6-4EED-8237-BCC256B57E91}" name="dequeue (Array List) " dataDxfId="7"/>
    <tableColumn id="5" xr3:uid="{61DF25D7-A2A3-4D39-B0C6-29804C1B33DB}" name="peek (Array List) " dataDxfId="6"/>
    <tableColumn id="8" xr3:uid="{092BA754-1EE8-42B8-A0C9-8E5FBAFE3FD2}" name="push (Array List)" dataDxfId="5"/>
    <tableColumn id="9" xr3:uid="{F7FD567A-4A42-4CDC-9449-A0BA8E9714D3}" name="pop (Array List)" dataDxfId="4"/>
    <tableColumn id="11" xr3:uid="{91D17C3E-2CFC-4978-91FF-19ADDF3A1CD9}" name="top(Array List) 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3:H21" totalsRowShown="0" headerRowDxfId="15" dataDxfId="14">
  <autoFilter ref="A13:H21" xr:uid="{5C24B5A8-1B8E-4092-B34A-66FF5413D1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6584851-71BC-4FF5-B248-C3F46BA653AF}" name="Porcentaje de la muestra [pct]" dataDxfId="13"/>
    <tableColumn id="2" xr3:uid="{4F9B7329-040C-4D35-96E7-B9181424DC65}" name="Tamaño de la muestra (LINKED_LIST)" dataDxfId="12">
      <calculatedColumnFormula>Table13[[#This Row],[Porcentaje de la muestra '[pct']]]*10000</calculatedColumnFormula>
    </tableColumn>
    <tableColumn id="3" xr3:uid="{BDA028DF-4CED-4928-B040-96AD8F8A43EB}" name="enqueue (Linked List) " dataDxfId="11"/>
    <tableColumn id="4" xr3:uid="{A5E99D51-DD73-48A7-AE0D-601A8EE89AFA}" name="dequeue (Linked List)  " dataDxfId="10"/>
    <tableColumn id="5" xr3:uid="{EE99E4CD-A6F0-492B-B754-38221659D42F}" name="peek (Linked List)  " dataDxfId="9"/>
    <tableColumn id="8" xr3:uid="{D4319BDE-1663-4E02-A459-D4E464B40376}" name="push (Linked List) " dataDxfId="2"/>
    <tableColumn id="9" xr3:uid="{D1102AA4-3669-4976-AB80-8CA1D8EED93A}" name="pop (Linked List) " dataDxfId="1"/>
    <tableColumn id="11" xr3:uid="{A75BD949-6BC0-4683-B105-18DE72DE82D5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D5B14742-4EBB-4241-AC8A-0E5F24F7BB7B}">
  <dimension ref="A1:H21"/>
  <sheetViews>
    <sheetView tabSelected="1" zoomScale="90" zoomScaleNormal="90" workbookViewId="0">
      <selection activeCell="J13" sqref="J13"/>
    </sheetView>
  </sheetViews>
  <sheetFormatPr baseColWidth="10" defaultColWidth="8.85546875" defaultRowHeight="15"/>
  <cols>
    <col min="1" max="1" width="19.140625" style="1" bestFit="1" customWidth="1"/>
    <col min="2" max="2" width="25.5703125" style="1" bestFit="1" customWidth="1"/>
    <col min="3" max="4" width="24.42578125" style="1" customWidth="1"/>
    <col min="5" max="5" width="24.42578125" style="6" customWidth="1"/>
    <col min="6" max="12" width="24.42578125" customWidth="1"/>
  </cols>
  <sheetData>
    <row r="1" spans="1:8" ht="14.25" customHeight="1">
      <c r="C1" s="7" t="s">
        <v>0</v>
      </c>
      <c r="D1" s="7"/>
      <c r="E1" s="7"/>
      <c r="F1" s="8" t="s">
        <v>1</v>
      </c>
      <c r="G1" s="8"/>
      <c r="H1" s="8"/>
    </row>
    <row r="2" spans="1:8" s="5" customFormat="1" ht="3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>
      <c r="A3" s="2">
        <v>5.0000000000000001E-3</v>
      </c>
      <c r="B3" s="3">
        <f>Table1[[#This Row],[Porcentaje de la muestra '[pct']]]*10000</f>
        <v>50</v>
      </c>
      <c r="C3" s="4">
        <v>0.066</v>
      </c>
      <c r="D3" s="4">
        <v>0.026</v>
      </c>
      <c r="E3" s="4">
        <v>0.005</v>
      </c>
      <c r="F3" s="4">
        <v>0.018</v>
      </c>
      <c r="G3" s="4">
        <v>0.021</v>
      </c>
      <c r="H3" s="4">
        <v>0.001</v>
      </c>
    </row>
    <row r="4" spans="1:8" s="5" customFormat="1">
      <c r="A4" s="2">
        <v>0.05</v>
      </c>
      <c r="B4" s="3">
        <f>Table1[[#This Row],[Porcentaje de la muestra '[pct']]]*10000</f>
        <v>500</v>
      </c>
      <c r="C4" s="4">
        <v>0.142</v>
      </c>
      <c r="D4" s="4">
        <v>0.167</v>
      </c>
      <c r="E4" s="4">
        <v>0.001</v>
      </c>
      <c r="F4" s="4">
        <v>0.172</v>
      </c>
      <c r="G4" s="4">
        <v>0.215</v>
      </c>
      <c r="H4" s="4">
        <v>0.001</v>
      </c>
    </row>
    <row r="5" spans="1:8">
      <c r="A5" s="2">
        <v>0.1</v>
      </c>
      <c r="B5" s="3">
        <f>Table1[[#This Row],[Porcentaje de la muestra '[pct']]]*10000</f>
        <v>1000</v>
      </c>
      <c r="C5" s="4">
        <v>0.662</v>
      </c>
      <c r="D5" s="4">
        <v>0.913</v>
      </c>
      <c r="E5" s="4">
        <v>0.001</v>
      </c>
      <c r="F5" s="4">
        <v>1.038</v>
      </c>
      <c r="G5" s="4">
        <v>1.278</v>
      </c>
      <c r="H5" s="4">
        <v>0.001</v>
      </c>
    </row>
    <row r="6" spans="1:8">
      <c r="A6" s="2">
        <v>0.2</v>
      </c>
      <c r="B6" s="3">
        <f>Table1[[#This Row],[Porcentaje de la muestra '[pct']]]*10000</f>
        <v>2000</v>
      </c>
      <c r="C6" s="4">
        <v>0.895</v>
      </c>
      <c r="D6" s="4">
        <v>1.638</v>
      </c>
      <c r="E6" s="4">
        <v>0.001</v>
      </c>
      <c r="F6" s="4">
        <v>2.066</v>
      </c>
      <c r="G6" s="4">
        <v>1.524</v>
      </c>
      <c r="H6" s="4">
        <v>0.001</v>
      </c>
    </row>
    <row r="7" spans="1:8">
      <c r="A7" s="2">
        <v>0.3</v>
      </c>
      <c r="B7" s="3">
        <f>Table1[[#This Row],[Porcentaje de la muestra '[pct']]]*10000</f>
        <v>3000</v>
      </c>
      <c r="C7" s="4">
        <v>1.210</v>
      </c>
      <c r="D7" s="4">
        <v>1.958</v>
      </c>
      <c r="E7" s="4">
        <v>0.001</v>
      </c>
      <c r="F7" s="4">
        <v>2.970</v>
      </c>
      <c r="G7" s="4">
        <v>2.962</v>
      </c>
      <c r="H7" s="4">
        <v>0.001</v>
      </c>
    </row>
    <row r="8" spans="1:8">
      <c r="A8" s="2">
        <v>0.5</v>
      </c>
      <c r="B8" s="3">
        <f>Table1[[#This Row],[Porcentaje de la muestra '[pct']]]*10000</f>
        <v>5000</v>
      </c>
      <c r="C8" s="4">
        <v>3.437</v>
      </c>
      <c r="D8" s="4">
        <v>5.939</v>
      </c>
      <c r="E8" s="4">
        <v>0.002</v>
      </c>
      <c r="F8" s="4">
        <v>9.764</v>
      </c>
      <c r="G8" s="4">
        <v>6.541</v>
      </c>
      <c r="H8" s="4">
        <v>0.003</v>
      </c>
    </row>
    <row r="9" spans="1:8">
      <c r="A9" s="2">
        <v>0.8</v>
      </c>
      <c r="B9" s="3">
        <f>Table1[[#This Row],[Porcentaje de la muestra '[pct']]]*10000</f>
        <v>8000</v>
      </c>
      <c r="C9" s="4">
        <v>5.098</v>
      </c>
      <c r="D9" s="4">
        <v>13.623</v>
      </c>
      <c r="E9" s="4">
        <v>0.004</v>
      </c>
      <c r="F9" s="4">
        <v>28.878</v>
      </c>
      <c r="G9" s="4">
        <v>17.051</v>
      </c>
      <c r="H9" s="4">
        <v>0.003</v>
      </c>
    </row>
    <row r="10" spans="1:8">
      <c r="A10" s="2">
        <v>1</v>
      </c>
      <c r="B10" s="3">
        <f>Table1[[#This Row],[Porcentaje de la muestra '[pct']]]*10000</f>
        <v>10000</v>
      </c>
      <c r="C10" s="4">
        <v>7.550</v>
      </c>
      <c r="D10" s="4">
        <v>20.816</v>
      </c>
      <c r="E10" s="4">
        <v>0.003</v>
      </c>
      <c r="F10" s="4">
        <v>33.326</v>
      </c>
      <c r="G10" s="4">
        <v>12.805</v>
      </c>
      <c r="H10" s="4">
        <v>0.002</v>
      </c>
    </row>
    <row r="12" spans="1:8" ht="14.25" customHeight="1">
      <c r="C12" s="7" t="s">
        <v>0</v>
      </c>
      <c r="D12" s="7"/>
      <c r="E12" s="7"/>
      <c r="F12" s="8" t="s">
        <v>1</v>
      </c>
      <c r="G12" s="8"/>
      <c r="H12" s="8"/>
    </row>
    <row r="13" spans="1:8" s="5" customFormat="1" ht="30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>
      <c r="A14" s="2">
        <v>5.0000000000000001E-3</v>
      </c>
      <c r="B14" s="3">
        <f>Table13[[#This Row],[Porcentaje de la muestra '[pct']]]*10000</f>
        <v>50</v>
      </c>
      <c r="C14" s="4">
        <v>0.026</v>
      </c>
      <c r="D14" s="4">
        <v>0.022</v>
      </c>
      <c r="E14" s="4">
        <v>0.001</v>
      </c>
      <c r="F14" s="4">
        <v>0.019</v>
      </c>
      <c r="G14" s="4">
        <v>0.034</v>
      </c>
      <c r="H14" s="4">
        <v>0.001</v>
      </c>
    </row>
    <row r="15" spans="1:8" s="5" customFormat="1">
      <c r="A15" s="2">
        <v>0.05</v>
      </c>
      <c r="B15" s="3">
        <f>Table13[[#This Row],[Porcentaje de la muestra '[pct']]]*10000</f>
        <v>500</v>
      </c>
      <c r="C15" s="4">
        <v>0.253</v>
      </c>
      <c r="D15" s="4">
        <v>0.270</v>
      </c>
      <c r="E15" s="4">
        <v>0.001</v>
      </c>
      <c r="F15" s="4">
        <v>0.224</v>
      </c>
      <c r="G15" s="4">
        <v>0.349</v>
      </c>
      <c r="H15" s="4">
        <v>0.001</v>
      </c>
    </row>
    <row r="16" spans="1:8">
      <c r="A16" s="2">
        <v>0.1</v>
      </c>
      <c r="B16" s="3">
        <f>Table13[[#This Row],[Porcentaje de la muestra '[pct']]]*10000</f>
        <v>1000</v>
      </c>
      <c r="C16" s="4">
        <v>0.478</v>
      </c>
      <c r="D16" s="4">
        <v>0.530</v>
      </c>
      <c r="E16" s="4">
        <v>0.001</v>
      </c>
      <c r="F16" s="4">
        <v>0.435</v>
      </c>
      <c r="G16" s="4">
        <v>0.668</v>
      </c>
      <c r="H16" s="4">
        <v>0.001</v>
      </c>
    </row>
    <row r="17" spans="1:8">
      <c r="A17" s="2">
        <v>0.2</v>
      </c>
      <c r="B17" s="3">
        <f>Table13[[#This Row],[Porcentaje de la muestra '[pct']]]*10000</f>
        <v>2000</v>
      </c>
      <c r="C17" s="4">
        <v>1.026</v>
      </c>
      <c r="D17" s="4">
        <v>1.619</v>
      </c>
      <c r="E17" s="4">
        <v>0.001</v>
      </c>
      <c r="F17" s="4">
        <v>3.722</v>
      </c>
      <c r="G17" s="4">
        <v>3.109</v>
      </c>
      <c r="H17" s="4">
        <v>0.007</v>
      </c>
    </row>
    <row r="18" spans="1:8">
      <c r="A18" s="2">
        <v>0.3</v>
      </c>
      <c r="B18" s="3">
        <f>Table13[[#This Row],[Porcentaje de la muestra '[pct']]]*10000</f>
        <v>3000</v>
      </c>
      <c r="C18" s="4">
        <v>2.501</v>
      </c>
      <c r="D18" s="4">
        <v>2.185</v>
      </c>
      <c r="E18" s="4">
        <v>0.006</v>
      </c>
      <c r="F18" s="4">
        <v>2.783</v>
      </c>
      <c r="G18" s="4">
        <v>4.402</v>
      </c>
      <c r="H18" s="4">
        <v>0.002</v>
      </c>
    </row>
    <row r="19" spans="1:8">
      <c r="A19" s="2">
        <v>0.5</v>
      </c>
      <c r="B19" s="3">
        <f>Table13[[#This Row],[Porcentaje de la muestra '[pct']]]*10000</f>
        <v>5000</v>
      </c>
      <c r="C19" s="4">
        <v>3.856</v>
      </c>
      <c r="D19" s="4">
        <v>3.814</v>
      </c>
      <c r="E19" s="4">
        <v>0.003</v>
      </c>
      <c r="F19" s="4">
        <v>3.639</v>
      </c>
      <c r="G19" s="4">
        <v>4.937</v>
      </c>
      <c r="H19" s="4">
        <v>0.001</v>
      </c>
    </row>
    <row r="20" spans="1:8">
      <c r="A20" s="2">
        <v>0.8</v>
      </c>
      <c r="B20" s="3">
        <f>Table13[[#This Row],[Porcentaje de la muestra '[pct']]]*10000</f>
        <v>8000</v>
      </c>
      <c r="C20" s="4">
        <v>4.263</v>
      </c>
      <c r="D20" s="4">
        <v>4.310</v>
      </c>
      <c r="E20" s="4">
        <v>0.002</v>
      </c>
      <c r="F20" s="4">
        <v>5.079</v>
      </c>
      <c r="G20" s="4">
        <v>6.075</v>
      </c>
      <c r="H20" s="4">
        <v>0.004</v>
      </c>
    </row>
    <row r="21" spans="1:8">
      <c r="A21" s="2">
        <v>1</v>
      </c>
      <c r="B21" s="3">
        <f>Table13[[#This Row],[Porcentaje de la muestra '[pct']]]*10000</f>
        <v>10000</v>
      </c>
      <c r="C21" s="4">
        <v>5.289</v>
      </c>
      <c r="D21" s="4">
        <v>10.444</v>
      </c>
      <c r="E21" s="4">
        <v>0.002</v>
      </c>
      <c r="F21" s="4">
        <v>99.635</v>
      </c>
      <c r="G21" s="4">
        <v>16.192</v>
      </c>
      <c r="H21" s="4">
        <v>0.005</v>
      </c>
    </row>
  </sheetData>
  <mergeCells count="4">
    <mergeCell ref="C1:E1"/>
    <mergeCell ref="F1:H1"/>
    <mergeCell ref="C12:E12"/>
    <mergeCell ref="F12:H12"/>
  </mergeCells>
  <phoneticPr fontId="6" type="noConversion"/>
  <pageMargins left="0.7" right="0.7" top="0.75" bottom="0.75" header="0.3" footer="0.3"/>
  <tableParts count="2">
    <tablePart ns3:id="rId1"/>
    <tablePart ns3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5e30bcc-d76c-4413-8e4d-2dce22fb0743">
      <UserInfo>
        <DisplayName>Carlos Andres Lozano Garzon</DisplayName>
        <AccountId>13</AccountId>
        <AccountType/>
      </UserInfo>
      <UserInfo>
        <DisplayName>Dario Ernesto Correal Torres</DisplayName>
        <AccountId>15</AccountId>
        <AccountType/>
      </UserInfo>
      <UserInfo>
        <DisplayName>Mario  Fernando De la rosa Rosero</DisplayName>
        <AccountId>16</AccountId>
        <AccountType/>
      </UserInfo>
      <UserInfo>
        <DisplayName>Christian Camilo Aparicio Baquen</DisplayName>
        <AccountId>50</AccountId>
        <AccountType/>
      </UserInfo>
      <UserInfo>
        <DisplayName>Arturo Henao Chaparro</DisplayName>
        <AccountId>48</AccountId>
        <AccountType/>
      </UserInfo>
      <UserInfo>
        <DisplayName>Luis Esteban Florez Salamanca</DisplayName>
        <AccountId>33</AccountId>
        <AccountType/>
      </UserInfo>
      <UserInfo>
        <DisplayName>Ivan David Salazar Cardenas</DisplayName>
        <AccountId>52</AccountId>
        <AccountType/>
      </UserInfo>
      <UserInfo>
        <DisplayName>Juan Carlos Marin Morales</DisplayName>
        <AccountId>53</AccountId>
        <AccountType/>
      </UserInfo>
      <UserInfo>
        <DisplayName>Sofia Duque Gomez</DisplayName>
        <AccountId>60</AccountId>
        <AccountType/>
      </UserInfo>
      <UserInfo>
        <DisplayName>Andres Felipe Romero Brand</DisplayName>
        <AccountId>91</AccountId>
        <AccountType/>
      </UserInfo>
      <UserInfo>
        <DisplayName>Lindsay Vanessa Pinto Morato</DisplayName>
        <AccountId>92</AccountId>
        <AccountType/>
      </UserInfo>
      <UserInfo>
        <DisplayName>Miguel Angel Acosta Walteros</DisplayName>
        <AccountId>94</AccountId>
        <AccountType/>
      </UserInfo>
      <UserInfo>
        <DisplayName>Juan David Diaz Ipuz</DisplayName>
        <AccountId>90</AccountId>
        <AccountType/>
      </UserInfo>
      <UserInfo>
        <DisplayName>Lily Aitana valentina Duque Chavez</DisplayName>
        <AccountId>17</AccountId>
        <AccountType/>
      </UserInfo>
      <UserInfo>
        <DisplayName>Isaac David Bermudez Lara</DisplayName>
        <AccountId>95</AccountId>
        <AccountType/>
      </UserInfo>
      <UserInfo>
        <DisplayName>Daniel Alejandro Angel Fuertes</DisplayName>
        <AccountId>55</AccountId>
        <AccountType/>
      </UserInfo>
      <UserInfo>
        <DisplayName>Jeniffer Liliam Mendoza Espinosa</DisplayName>
        <AccountId>97</AccountId>
        <AccountType/>
      </UserInfo>
      <UserInfo>
        <DisplayName>Kevin Cohen Solano</DisplayName>
        <AccountId>93</AccountId>
        <AccountType/>
      </UserInfo>
      <UserInfo>
        <DisplayName>Cesar Luis Moreno Gonzalez</DisplayName>
        <AccountId>96</AccountId>
        <AccountType/>
      </UserInfo>
      <UserInfo>
        <DisplayName>Jose Cristobal Arroyo Castellanos</DisplayName>
        <AccountId>54</AccountId>
        <AccountType/>
      </UserInfo>
    </SharedWithUsers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5E1E0-C817-4769-9D2D-1DC296B681FA}">
  <ds:schemaRefs>
    <ds:schemaRef ds:uri="164883f8-7691-4ecf-b54a-664c0d0edefe"/>
    <ds:schemaRef ds:uri="http://www.w3.org/XML/1998/namespace"/>
    <ds:schemaRef ds:uri="http://schemas.microsoft.com/office/2006/metadata/properties"/>
    <ds:schemaRef ds:uri="85e30bcc-d76c-4413-8e4d-2dce22fb0743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D72429-8592-4E2D-9A60-DFD77A3B0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Pablo Castro Avila</cp:lastModifiedBy>
  <cp:revision/>
  <dcterms:created xsi:type="dcterms:W3CDTF">2021-02-18T03:17:26Z</dcterms:created>
  <dcterms:modified xsi:type="dcterms:W3CDTF">2025-02-11T16:18:29Z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