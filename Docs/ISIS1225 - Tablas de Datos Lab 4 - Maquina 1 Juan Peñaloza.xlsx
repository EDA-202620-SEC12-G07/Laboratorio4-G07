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j_penalozar_uniandes_edu_co/Documents/Documentos/Universidad de los Andes/Semestre 5/EDA Lab/Lab 4/Laboratorio4-G07/Docs/"/>
    </mc:Choice>
  </mc:AlternateContent>
  <xr:revisionPtr revIDLastSave="314" documentId="13_ncr:1_{059725CA-9D74-4145-8FC3-28FE5756BBF0}" xr6:coauthVersionLast="47" xr6:coauthVersionMax="47" xr10:uidLastSave="{36954B03-50AA-6E4D-AF16-AEA81684DCA7}"/>
  <bookViews>
    <workbookView xWindow="0" yWindow="660" windowWidth="29400" windowHeight="1846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<sst xmlns="http://schemas.openxmlformats.org/spreadsheetml/2006/main" count="20" uniqueCount="17">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</sst>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0.000</c:formatCode>
                <c:ptCount val="9"/>
                <c:pt idx="0">
                  <c:v>1.4999999999999999E-2</c:v>
                </c:pt>
                <c:pt idx="1">
                  <c:v>6.5000000000000002E-2</c:v>
                </c:pt>
                <c:pt idx="2">
                  <c:v>0.14299999999999999</c:v>
                </c:pt>
                <c:pt idx="3">
                  <c:v>0.27400000000000002</c:v>
                </c:pt>
                <c:pt idx="4">
                  <c:v>0.42899999999999999</c:v>
                </c:pt>
                <c:pt idx="5">
                  <c:v>0.69</c:v>
                </c:pt>
                <c:pt idx="6">
                  <c:v>1.1659999999999999</c:v>
                </c:pt>
                <c:pt idx="7">
                  <c:v>1.446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0.000</c:formatCode>
                <c:ptCount val="8"/>
                <c:pt idx="0">
                  <c:v>1.6E-2</c:v>
                </c:pt>
                <c:pt idx="1">
                  <c:v>0.13</c:v>
                </c:pt>
                <c:pt idx="2">
                  <c:v>0.216</c:v>
                </c:pt>
                <c:pt idx="3">
                  <c:v>0.41799999999999998</c:v>
                </c:pt>
                <c:pt idx="4">
                  <c:v>0.66900000000000004</c:v>
                </c:pt>
                <c:pt idx="5">
                  <c:v>1.141</c:v>
                </c:pt>
                <c:pt idx="6">
                  <c:v>1.7430000000000001</c:v>
                </c:pt>
                <c:pt idx="7">
                  <c:v>12.231999999999999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0.000</c:formatCode>
                <c:ptCount val="9"/>
                <c:pt idx="0">
                  <c:v>1.4E-2</c:v>
                </c:pt>
                <c:pt idx="1">
                  <c:v>0.104</c:v>
                </c:pt>
                <c:pt idx="2">
                  <c:v>0.218</c:v>
                </c:pt>
                <c:pt idx="3">
                  <c:v>0.52700000000000002</c:v>
                </c:pt>
                <c:pt idx="4">
                  <c:v>0.84499999999999997</c:v>
                </c:pt>
                <c:pt idx="5">
                  <c:v>1.8420000000000001</c:v>
                </c:pt>
                <c:pt idx="6">
                  <c:v>3.8279999999999998</c:v>
                </c:pt>
                <c:pt idx="7">
                  <c:v>5.8479999999999999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0.000</c:formatCode>
                <c:ptCount val="8"/>
                <c:pt idx="0">
                  <c:v>1.7999999999999999E-2</c:v>
                </c:pt>
                <c:pt idx="1">
                  <c:v>0.1</c:v>
                </c:pt>
                <c:pt idx="2">
                  <c:v>0.216</c:v>
                </c:pt>
                <c:pt idx="3">
                  <c:v>0.44</c:v>
                </c:pt>
                <c:pt idx="4">
                  <c:v>0.65800000000000003</c:v>
                </c:pt>
                <c:pt idx="5">
                  <c:v>1.0589999999999999</c:v>
                </c:pt>
                <c:pt idx="6">
                  <c:v>1.7</c:v>
                </c:pt>
                <c:pt idx="7">
                  <c:v>2.2210000000000001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0.000</c:formatCode>
                <c:ptCount val="9"/>
                <c:pt idx="0">
                  <c:v>4.0000000000000001E-3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0.000</c:formatCode>
                <c:ptCount val="8"/>
                <c:pt idx="0">
                  <c:v>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0.000</c:formatCode>
                <c:ptCount val="8"/>
                <c:pt idx="0">
                  <c:v>1.0999999999999999E-2</c:v>
                </c:pt>
                <c:pt idx="1">
                  <c:v>0.11899999999999999</c:v>
                </c:pt>
                <c:pt idx="2">
                  <c:v>0.30399999999999999</c:v>
                </c:pt>
                <c:pt idx="3">
                  <c:v>0.89100000000000001</c:v>
                </c:pt>
                <c:pt idx="4">
                  <c:v>1.98</c:v>
                </c:pt>
                <c:pt idx="5">
                  <c:v>4.5469999999999997</c:v>
                </c:pt>
                <c:pt idx="6">
                  <c:v>10.670999999999999</c:v>
                </c:pt>
                <c:pt idx="7">
                  <c:v>15.583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0.000</c:formatCode>
                <c:ptCount val="8"/>
                <c:pt idx="0">
                  <c:v>1.0999999999999999E-2</c:v>
                </c:pt>
                <c:pt idx="1">
                  <c:v>9.6000000000000002E-2</c:v>
                </c:pt>
                <c:pt idx="2">
                  <c:v>0.193</c:v>
                </c:pt>
                <c:pt idx="3">
                  <c:v>0.38700000000000001</c:v>
                </c:pt>
                <c:pt idx="4">
                  <c:v>0.62</c:v>
                </c:pt>
                <c:pt idx="5">
                  <c:v>1.244</c:v>
                </c:pt>
                <c:pt idx="6">
                  <c:v>1.776</c:v>
                </c:pt>
                <c:pt idx="7">
                  <c:v>2.1640000000000001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0.000</c:formatCode>
                <c:ptCount val="8"/>
                <c:pt idx="0">
                  <c:v>1.9E-2</c:v>
                </c:pt>
                <c:pt idx="1">
                  <c:v>0.151</c:v>
                </c:pt>
                <c:pt idx="2">
                  <c:v>0.27300000000000002</c:v>
                </c:pt>
                <c:pt idx="3">
                  <c:v>0.67900000000000005</c:v>
                </c:pt>
                <c:pt idx="4">
                  <c:v>1.119</c:v>
                </c:pt>
                <c:pt idx="5">
                  <c:v>2.4209999999999998</c:v>
                </c:pt>
                <c:pt idx="6">
                  <c:v>4.7370000000000001</c:v>
                </c:pt>
                <c:pt idx="7">
                  <c:v>6.6669999999999998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0.000</c:formatCode>
                <c:ptCount val="8"/>
                <c:pt idx="0">
                  <c:v>1.9E-2</c:v>
                </c:pt>
                <c:pt idx="1">
                  <c:v>0.14899999999999999</c:v>
                </c:pt>
                <c:pt idx="2">
                  <c:v>0.29699999999999999</c:v>
                </c:pt>
                <c:pt idx="3">
                  <c:v>0.6</c:v>
                </c:pt>
                <c:pt idx="4">
                  <c:v>0.94299999999999995</c:v>
                </c:pt>
                <c:pt idx="5">
                  <c:v>1.5740000000000001</c:v>
                </c:pt>
                <c:pt idx="6">
                  <c:v>2.411</c:v>
                </c:pt>
                <c:pt idx="7">
                  <c:v>3.0190000000000001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0.000</c:formatCode>
                <c:ptCount val="8"/>
                <c:pt idx="0">
                  <c:v>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1E-3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B1563A-E22A-2945-BC99-F164DA94C32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470449a-e31d-4f2d-a945-286183b2e4e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94" zoomScaleNormal="90" workbookViewId="0">
      <selection activeCell="C27" sqref="C27"/>
    </sheetView>
  </sheetViews>
  <sheetFormatPr baseColWidth="10" defaultColWidth="8.83203125" defaultRowHeight="15"/>
  <cols>
    <col min="1" max="1" width="19.1640625" style="1" bestFit="1" customWidth="1"/>
    <col min="2" max="2" width="25.5" style="1" bestFit="1" customWidth="1"/>
    <col min="3" max="4" width="24.5" style="1" customWidth="1"/>
    <col min="5" max="5" width="24.5" style="6" customWidth="1"/>
    <col min="6" max="12" width="24.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3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>
      <c r="A3" s="2">
        <v>5.0000000000000001E-3</v>
      </c>
      <c r="B3" s="3">
        <f>Table1[[#This Row],[Porcentaje de la muestra '[pct']]]*10000</f>
        <v>50</v>
      </c>
      <c r="C3" s="9">
        <v>1.4999999999999999E-2</v>
      </c>
      <c r="D3" s="9">
        <v>1.4E-2</v>
      </c>
      <c r="E3" s="9">
        <v>4.0000000000000001E-3</v>
      </c>
      <c r="F3" s="9">
        <v>1.0999999999999999E-2</v>
      </c>
      <c r="G3" s="9">
        <v>1.9E-2</v>
      </c>
      <c r="H3" s="9">
        <v>1E-3</v>
      </c>
    </row>
    <row r="4" spans="1:8" s="5" customFormat="1">
      <c r="A4" s="2">
        <v>0.05</v>
      </c>
      <c r="B4" s="3">
        <f>Table1[[#This Row],[Porcentaje de la muestra '[pct']]]*10000</f>
        <v>500</v>
      </c>
      <c r="C4" s="9">
        <v>6.5000000000000002E-2</v>
      </c>
      <c r="D4" s="9">
        <v>0.104</v>
      </c>
      <c r="E4" s="9">
        <v>0</v>
      </c>
      <c r="F4" s="9">
        <v>0.11899999999999999</v>
      </c>
      <c r="G4" s="9">
        <v>0.151</v>
      </c>
      <c r="H4" s="9">
        <v>0</v>
      </c>
    </row>
    <row r="5" spans="1:8">
      <c r="A5" s="2">
        <v>0.1</v>
      </c>
      <c r="B5" s="3">
        <f>Table1[[#This Row],[Porcentaje de la muestra '[pct']]]*10000</f>
        <v>1000</v>
      </c>
      <c r="C5" s="9">
        <v>0.14299999999999999</v>
      </c>
      <c r="D5" s="9">
        <v>0.218</v>
      </c>
      <c r="E5" s="9">
        <v>0</v>
      </c>
      <c r="F5" s="9">
        <v>0.30399999999999999</v>
      </c>
      <c r="G5" s="9">
        <v>0.27300000000000002</v>
      </c>
      <c r="H5" s="9">
        <v>0</v>
      </c>
    </row>
    <row r="6" spans="1:8">
      <c r="A6" s="2">
        <v>0.2</v>
      </c>
      <c r="B6" s="3">
        <f>Table1[[#This Row],[Porcentaje de la muestra '[pct']]]*10000</f>
        <v>2000</v>
      </c>
      <c r="C6" s="9">
        <v>0.27400000000000002</v>
      </c>
      <c r="D6" s="9">
        <v>0.52700000000000002</v>
      </c>
      <c r="E6" s="9">
        <v>0</v>
      </c>
      <c r="F6" s="9">
        <v>0.89100000000000001</v>
      </c>
      <c r="G6" s="9">
        <v>0.67900000000000005</v>
      </c>
      <c r="H6" s="9">
        <v>0</v>
      </c>
    </row>
    <row r="7" spans="1:8">
      <c r="A7" s="2">
        <v>0.3</v>
      </c>
      <c r="B7" s="3">
        <f>Table1[[#This Row],[Porcentaje de la muestra '[pct']]]*10000</f>
        <v>3000</v>
      </c>
      <c r="C7" s="9">
        <v>0.42899999999999999</v>
      </c>
      <c r="D7" s="9">
        <v>0.84499999999999997</v>
      </c>
      <c r="E7" s="9">
        <v>0</v>
      </c>
      <c r="F7" s="9">
        <v>1.98</v>
      </c>
      <c r="G7" s="9">
        <v>1.119</v>
      </c>
      <c r="H7" s="9">
        <v>1E-3</v>
      </c>
    </row>
    <row r="8" spans="1:8">
      <c r="A8" s="2">
        <v>0.5</v>
      </c>
      <c r="B8" s="3">
        <f>Table1[[#This Row],[Porcentaje de la muestra '[pct']]]*10000</f>
        <v>5000</v>
      </c>
      <c r="C8" s="9">
        <v>0.69</v>
      </c>
      <c r="D8" s="9">
        <v>1.8420000000000001</v>
      </c>
      <c r="E8" s="9">
        <v>0</v>
      </c>
      <c r="F8" s="9">
        <v>4.5469999999999997</v>
      </c>
      <c r="G8" s="9">
        <v>2.4209999999999998</v>
      </c>
      <c r="H8" s="9">
        <v>1E-3</v>
      </c>
    </row>
    <row r="9" spans="1:8">
      <c r="A9" s="2">
        <v>0.8</v>
      </c>
      <c r="B9" s="3">
        <f>Table1[[#This Row],[Porcentaje de la muestra '[pct']]]*10000</f>
        <v>8000</v>
      </c>
      <c r="C9" s="9">
        <v>1.1659999999999999</v>
      </c>
      <c r="D9" s="9">
        <v>3.8279999999999998</v>
      </c>
      <c r="E9" s="9">
        <v>0</v>
      </c>
      <c r="F9" s="9">
        <v>10.670999999999999</v>
      </c>
      <c r="G9" s="9">
        <v>4.7370000000000001</v>
      </c>
      <c r="H9" s="9">
        <v>1E-3</v>
      </c>
    </row>
    <row r="10" spans="1:8">
      <c r="A10" s="2">
        <v>1</v>
      </c>
      <c r="B10" s="3">
        <f>Table1[[#This Row],[Porcentaje de la muestra '[pct']]]*10000</f>
        <v>10000</v>
      </c>
      <c r="C10" s="9">
        <v>1.446</v>
      </c>
      <c r="D10" s="9">
        <v>5.8479999999999999</v>
      </c>
      <c r="E10" s="9">
        <v>0</v>
      </c>
      <c r="F10" s="9">
        <v>15.583</v>
      </c>
      <c r="G10" s="9">
        <v>6.6669999999999998</v>
      </c>
      <c r="H10" s="9">
        <v>1E-3</v>
      </c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32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>
      <c r="A14" s="2">
        <v>5.0000000000000001E-3</v>
      </c>
      <c r="B14" s="3">
        <f>Table13[[#This Row],[Porcentaje de la muestra '[pct']]]*10000</f>
        <v>50</v>
      </c>
      <c r="C14" s="9">
        <v>1.6E-2</v>
      </c>
      <c r="D14" s="9">
        <v>1.7999999999999999E-2</v>
      </c>
      <c r="E14" s="9">
        <v>1E-3</v>
      </c>
      <c r="F14" s="9">
        <v>1.0999999999999999E-2</v>
      </c>
      <c r="G14" s="9">
        <v>1.9E-2</v>
      </c>
      <c r="H14" s="9">
        <v>0</v>
      </c>
    </row>
    <row r="15" spans="1:8" s="5" customFormat="1">
      <c r="A15" s="2">
        <v>0.05</v>
      </c>
      <c r="B15" s="3">
        <f>Table13[[#This Row],[Porcentaje de la muestra '[pct']]]*10000</f>
        <v>500</v>
      </c>
      <c r="C15" s="9">
        <v>0.13</v>
      </c>
      <c r="D15" s="9">
        <v>0.1</v>
      </c>
      <c r="E15" s="9">
        <v>0</v>
      </c>
      <c r="F15" s="9">
        <v>9.6000000000000002E-2</v>
      </c>
      <c r="G15" s="9">
        <v>0.14899999999999999</v>
      </c>
      <c r="H15" s="9">
        <v>0</v>
      </c>
    </row>
    <row r="16" spans="1:8">
      <c r="A16" s="2">
        <v>0.1</v>
      </c>
      <c r="B16" s="3">
        <f>Table13[[#This Row],[Porcentaje de la muestra '[pct']]]*10000</f>
        <v>1000</v>
      </c>
      <c r="C16" s="9">
        <v>0.216</v>
      </c>
      <c r="D16" s="9">
        <v>0.216</v>
      </c>
      <c r="E16" s="9">
        <v>0</v>
      </c>
      <c r="F16" s="9">
        <v>0.193</v>
      </c>
      <c r="G16" s="9">
        <v>0.29699999999999999</v>
      </c>
      <c r="H16" s="9">
        <v>0</v>
      </c>
    </row>
    <row r="17" spans="1:8">
      <c r="A17" s="2">
        <v>0.2</v>
      </c>
      <c r="B17" s="3">
        <f>Table13[[#This Row],[Porcentaje de la muestra '[pct']]]*10000</f>
        <v>2000</v>
      </c>
      <c r="C17" s="9">
        <v>0.41799999999999998</v>
      </c>
      <c r="D17" s="9">
        <v>0.44</v>
      </c>
      <c r="E17" s="9">
        <v>0</v>
      </c>
      <c r="F17" s="9">
        <v>0.38700000000000001</v>
      </c>
      <c r="G17" s="9">
        <v>0.6</v>
      </c>
      <c r="H17" s="9">
        <v>0</v>
      </c>
    </row>
    <row r="18" spans="1:8">
      <c r="A18" s="2">
        <v>0.3</v>
      </c>
      <c r="B18" s="3">
        <f>Table13[[#This Row],[Porcentaje de la muestra '[pct']]]*10000</f>
        <v>3000</v>
      </c>
      <c r="C18" s="9">
        <v>0.66900000000000004</v>
      </c>
      <c r="D18" s="9">
        <v>0.65800000000000003</v>
      </c>
      <c r="E18" s="9">
        <v>0</v>
      </c>
      <c r="F18" s="9">
        <v>0.62</v>
      </c>
      <c r="G18" s="9">
        <v>0.94299999999999995</v>
      </c>
      <c r="H18" s="9">
        <v>0</v>
      </c>
    </row>
    <row r="19" spans="1:8">
      <c r="A19" s="2">
        <v>0.5</v>
      </c>
      <c r="B19" s="3">
        <f>Table13[[#This Row],[Porcentaje de la muestra '[pct']]]*10000</f>
        <v>5000</v>
      </c>
      <c r="C19" s="9">
        <v>1.141</v>
      </c>
      <c r="D19" s="9">
        <v>1.0589999999999999</v>
      </c>
      <c r="E19" s="9">
        <v>0</v>
      </c>
      <c r="F19" s="9">
        <v>1.244</v>
      </c>
      <c r="G19" s="9">
        <v>1.5740000000000001</v>
      </c>
      <c r="H19" s="9">
        <v>1E-3</v>
      </c>
    </row>
    <row r="20" spans="1:8">
      <c r="A20" s="2">
        <v>0.8</v>
      </c>
      <c r="B20" s="3">
        <f>Table13[[#This Row],[Porcentaje de la muestra '[pct']]]*10000</f>
        <v>8000</v>
      </c>
      <c r="C20" s="9">
        <v>1.7430000000000001</v>
      </c>
      <c r="D20" s="9">
        <v>1.7</v>
      </c>
      <c r="E20" s="9">
        <v>1E-3</v>
      </c>
      <c r="F20" s="9">
        <v>1.776</v>
      </c>
      <c r="G20" s="9">
        <v>2.411</v>
      </c>
      <c r="H20" s="9">
        <v>0</v>
      </c>
    </row>
    <row r="21" spans="1:8">
      <c r="A21" s="2">
        <v>1</v>
      </c>
      <c r="B21" s="3">
        <f>Table13[[#This Row],[Porcentaje de la muestra '[pct']]]*10000</f>
        <v>10000</v>
      </c>
      <c r="C21" s="9">
        <v>12.231999999999999</v>
      </c>
      <c r="D21" s="9">
        <v>2.2210000000000001</v>
      </c>
      <c r="E21" s="9">
        <v>1E-3</v>
      </c>
      <c r="F21" s="9">
        <v>2.1640000000000001</v>
      </c>
      <c r="G21" s="9">
        <v>3.0190000000000001</v>
      </c>
      <c r="H21" s="9">
        <v>0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http://schemas.microsoft.com/office/2006/documentManagement/types"/>
    <ds:schemaRef ds:uri="http://www.w3.org/XML/1998/namespace"/>
    <ds:schemaRef ds:uri="85e30bcc-d76c-4413-8e4d-2dce22fb0743"/>
    <ds:schemaRef ds:uri="http://schemas.microsoft.com/office/2006/metadata/properties"/>
    <ds:schemaRef ds:uri="164883f8-7691-4ecf-b54a-664c0d0edef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Juan Jose Peñaloza Ramirez</cp:lastModifiedBy>
  <cp:revision/>
  <dcterms:created xsi:type="dcterms:W3CDTF">2021-02-18T03:17:26Z</dcterms:created>
  <dcterms:modified xsi:type="dcterms:W3CDTF">2026-09-06T07:05:07Z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